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ariposacbc-my.sharepoint.com/personal/controladormultiemp_grupoclc_com/Documents/Documents/GitHub/JESKELL-TV/data/"/>
    </mc:Choice>
  </mc:AlternateContent>
  <xr:revisionPtr revIDLastSave="203" documentId="8_{4DF11E83-7A7F-4557-9B8C-6F15B10F53BA}" xr6:coauthVersionLast="47" xr6:coauthVersionMax="47" xr10:uidLastSave="{A89CD9A5-1E33-4FA0-BE67-CA60277ABEE8}"/>
  <bookViews>
    <workbookView xWindow="-110" yWindow="-110" windowWidth="19420" windowHeight="11500" xr2:uid="{00000000-000D-0000-FFFF-FFFF00000000}"/>
  </bookViews>
  <sheets>
    <sheet name="SEMANA" sheetId="1" r:id="rId1"/>
    <sheet name="PRODUCCION_MENS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B9" i="1"/>
</calcChain>
</file>

<file path=xl/sharedStrings.xml><?xml version="1.0" encoding="utf-8"?>
<sst xmlns="http://schemas.openxmlformats.org/spreadsheetml/2006/main" count="62" uniqueCount="62">
  <si>
    <t>TABLERO KPI – MAQUILA KELLOGG'S  |  DATOS DE LA SEMANA</t>
  </si>
  <si>
    <t>CAMPO</t>
  </si>
  <si>
    <t>VALOR</t>
  </si>
  <si>
    <t>DESCRIPCIÓN (no editar)</t>
  </si>
  <si>
    <t>SEMANA</t>
  </si>
  <si>
    <t>Rango de fechas de la semana (texto libre)</t>
  </si>
  <si>
    <t>PERIODO</t>
  </si>
  <si>
    <t>Mes y año del período</t>
  </si>
  <si>
    <t>META GENERAL (%)</t>
  </si>
  <si>
    <t>Meta fija cumplimiento global (0.85 = 85%)</t>
  </si>
  <si>
    <t>─── KPI 1: PRODUCCIÓN ───</t>
  </si>
  <si>
    <t xml:space="preserve">  Meta semanal (uds)</t>
  </si>
  <si>
    <t>Objetivo de unidades a producir en la semana</t>
  </si>
  <si>
    <t xml:space="preserve">  Producción real (uds)</t>
  </si>
  <si>
    <t>Unidades realmente producidas en la semana</t>
  </si>
  <si>
    <t>─── KPI 2: ORDEN Y LIMPIEZA ───</t>
  </si>
  <si>
    <t xml:space="preserve">  Nota Orden y Limpieza</t>
  </si>
  <si>
    <t>Puntaje checklist 5S semanal (0 – 100)</t>
  </si>
  <si>
    <t>─── KPI 3: BPM ───</t>
  </si>
  <si>
    <t xml:space="preserve">  Nota BPM</t>
  </si>
  <si>
    <t>Uñas, uniforme, higiene (0 – 100)</t>
  </si>
  <si>
    <t>─── KPI 4: CALIDAD ───</t>
  </si>
  <si>
    <t xml:space="preserve">  Nota Calidad</t>
  </si>
  <si>
    <t>Producto correcto, sin defectos (0 – 100)</t>
  </si>
  <si>
    <t>─── KPI 5: SEGURIDAD ───</t>
  </si>
  <si>
    <t xml:space="preserve">  Nota Seguridad</t>
  </si>
  <si>
    <t>EPP y cumplimiento de normas (0 – 100)</t>
  </si>
  <si>
    <t>─── PRODUCCIÓN MENSUAL ───</t>
  </si>
  <si>
    <t xml:space="preserve">  Acumulado real (ene-hoy)</t>
  </si>
  <si>
    <t>Total producido en el año hasta la fecha</t>
  </si>
  <si>
    <t xml:space="preserve">  Acumulado meta (ene-hoy)</t>
  </si>
  <si>
    <t>Objetivo acumulado hasta la misma fecha</t>
  </si>
  <si>
    <t xml:space="preserve">  Cumplimiento acumulado</t>
  </si>
  <si>
    <t>Acumulado real ÷ Acumulado meta</t>
  </si>
  <si>
    <t>─── DÍAS SIN ACCIDENTES ───</t>
  </si>
  <si>
    <t xml:space="preserve">  Fecha inicio conteo</t>
  </si>
  <si>
    <t>Fecha desde la que se cuenta sin accidentes</t>
  </si>
  <si>
    <t>─── NOTA / ALERTA ───</t>
  </si>
  <si>
    <t xml:space="preserve">  Nota o alerta de la semana</t>
  </si>
  <si>
    <t>Escribe aquí cualquier observación o alerta</t>
  </si>
  <si>
    <t>PRODUCCIÓN MENSUAL — META VS. REAL (ENE-DIC 2026)</t>
  </si>
  <si>
    <t>MES</t>
  </si>
  <si>
    <t>META (uds)</t>
  </si>
  <si>
    <t>REAL (uds)</t>
  </si>
  <si>
    <t>CUMPL.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</si>
  <si>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</si>
  <si>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</si>
  <si>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</si>
  <si>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</si>
  <si>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</si>
  <si>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</si>
  <si>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</si>
  <si>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</si>
  <si>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</si>
  <si>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</si>
  <si>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</si>
  <si>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</si>
  <si>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</si>
  <si>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Observacion</t>
  </si>
  <si>
    <t>Excelente Semana</t>
  </si>
  <si>
    <t>Octubre</t>
  </si>
  <si>
    <t>12/10/2026 al 18/10/2026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</si>
</sst>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9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E3A5F"/>
      <name val="Calibri"/>
      <family val="2"/>
    </font>
    <font>
      <b/>
      <sz val="11"/>
      <color rgb="FF0D1B3E"/>
      <name val="Calibri"/>
      <family val="2"/>
    </font>
    <font>
      <i/>
      <sz val="9"/>
      <color rgb="FF6B7280"/>
      <name val="Calibri"/>
      <family val="2"/>
    </font>
    <font>
      <b/>
      <sz val="9"/>
      <color rgb="FFFFFFFF"/>
      <name val="Calibri"/>
      <family val="2"/>
    </font>
    <font>
      <b/>
      <sz val="9"/>
      <color rgb="FF92400E"/>
      <name val="Calibri"/>
      <family val="2"/>
    </font>
    <font>
      <b/>
      <sz val="11"/>
      <color rgb="FF1E3A5F"/>
      <name val="Calibri"/>
      <family val="2"/>
    </font>
    <font>
      <sz val="10"/>
      <color rgb="FF1565C0"/>
      <name val="Calibri"/>
      <family val="2"/>
    </font>
    <font>
      <b/>
      <sz val="10"/>
      <name val="Calibri"/>
      <family val="2"/>
    </font>
    <font>
      <b/>
      <sz val="10"/>
      <color rgb="FF1B8A4C"/>
      <name val="Calibri"/>
      <family val="2"/>
    </font>
    <font>
      <b/>
      <sz val="9"/>
      <color rgb="FF1B8A4C"/>
      <name val="Calibri"/>
      <family val="2"/>
    </font>
    <font>
      <b/>
      <sz val="10"/>
      <color rgb="FFF39C12"/>
      <name val="Calibri"/>
      <family val="2"/>
    </font>
    <font>
      <sz val="10"/>
      <color rgb="FF9CA3AF"/>
      <name val="Calibri"/>
      <family val="2"/>
    </font>
    <font>
      <i/>
      <sz val="9"/>
      <color rgb="FF9CA3AF"/>
      <name val="Calibri"/>
      <family val="2"/>
    </font>
    <font>
      <sz val="10"/>
      <name val="Arial"/>
      <family val="2"/>
    </font>
    <font>
      <i/>
      <sz val="9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D1B3E"/>
      </patternFill>
    </fill>
    <fill>
      <patternFill patternType="solid">
        <fgColor rgb="FF1565C0"/>
      </patternFill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FFFDE7"/>
      </patternFill>
    </fill>
    <fill>
      <patternFill patternType="solid">
        <fgColor rgb="FFF8FAFF"/>
      </patternFill>
    </fill>
    <fill>
      <patternFill patternType="solid">
        <fgColor rgb="FFFEF3C7"/>
      </patternFill>
    </fill>
    <fill>
      <patternFill patternType="solid">
        <fgColor rgb="FFF9FAFB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0" fontId="17" fillId="0" borderId="0"/>
    <xf numFmtId="9" fontId="19" fillId="0" borderId="0" applyFont="0" applyFill="0" applyBorder="0" applyAlignment="0" applyProtection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indent="1"/>
    </xf>
    <xf numFmtId="9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3" fontId="11" fillId="9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11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9" fontId="0" fillId="0" borderId="0" xfId="2" applyFont="1"/>
    <xf numFmtId="17" fontId="5" fillId="6" borderId="1" xfId="0" applyNumberFormat="1" applyFont="1" applyFill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/>
    </xf>
    <xf numFmtId="0" fontId="8" fillId="8" borderId="0" xfId="0" applyFont="1" applyFill="1" applyAlignment="1">
      <alignment horizontal="center" vertical="center"/>
    </xf>
    <xf numFmtId="0" fontId="0" fillId="0" borderId="0" xfId="0"/>
    <xf numFmtId="0" fontId="7" fillId="4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/>
    </xf>
  </cellXfs>
  <cellStyles count="3">
    <cellStyle name="Normal" xfId="0" builtinId="0"/>
    <cellStyle name="Normal 2" xfId="1" xr:uid="{24EDABCD-3CA4-4D3B-9AF0-E231F6619425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workbookViewId="0">
      <selection activeCell="B5" sqref="B5"/>
    </sheetView>
  </sheetViews>
  <sheetFormatPr baseColWidth="10" defaultColWidth="8.7265625" defaultRowHeight="14.5" x14ac:dyDescent="0.35"/>
  <cols>
    <col min="1" max="1" width="30" customWidth="1"/>
    <col min="2" max="2" width="22.6328125" bestFit="1" customWidth="1"/>
    <col min="3" max="3" width="45" customWidth="1"/>
  </cols>
  <sheetData>
    <row r="1" spans="1:3" ht="36" customHeight="1" x14ac:dyDescent="0.35">
      <c r="A1" s="33" t="s">
        <v>0</v>
      </c>
      <c r="B1" s="29"/>
      <c r="C1" s="29"/>
    </row>
    <row r="2" spans="1:3" ht="18" customHeight="1" x14ac:dyDescent="0.35">
      <c r="A2" s="32"/>
      <c r="B2" s="29"/>
      <c r="C2" s="29"/>
    </row>
    <row r="3" spans="1:3" ht="22" customHeight="1" x14ac:dyDescent="0.35">
      <c r="A3" s="1" t="s">
        <v>1</v>
      </c>
      <c r="B3" s="1" t="s">
        <v>2</v>
      </c>
      <c r="C3" s="1" t="s">
        <v>3</v>
      </c>
    </row>
    <row r="4" spans="1:3" ht="22" customHeight="1" x14ac:dyDescent="0.35">
      <c r="A4" s="2" t="s">
        <v>4</v>
      </c>
      <c r="B4" s="3" t="s">
        <v>61</v>
      </c>
      <c r="C4" s="4" t="s">
        <v>5</v>
      </c>
    </row>
    <row r="5" spans="1:3" ht="22" customHeight="1" x14ac:dyDescent="0.35">
      <c r="A5" s="2" t="s">
        <v>6</v>
      </c>
      <c r="B5" s="26" t="s">
        <v>60</v>
      </c>
      <c r="C5" s="4" t="s">
        <v>7</v>
      </c>
    </row>
    <row r="6" spans="1:3" ht="22" customHeight="1" x14ac:dyDescent="0.35">
      <c r="A6" s="2" t="s">
        <v>8</v>
      </c>
      <c r="B6" s="5">
        <v>1</v>
      </c>
      <c r="C6" s="4" t="s">
        <v>9</v>
      </c>
    </row>
    <row r="7" spans="1:3" ht="18" customHeight="1" x14ac:dyDescent="0.35">
      <c r="A7" s="30" t="s">
        <v>10</v>
      </c>
      <c r="B7" s="31"/>
      <c r="C7" s="31"/>
    </row>
    <row r="8" spans="1:3" ht="22" customHeight="1" x14ac:dyDescent="0.35">
      <c r="A8" s="2" t="s">
        <v>11</v>
      </c>
      <c r="B8" s="3">
        <v>85440</v>
      </c>
      <c r="C8" s="4" t="s">
        <v>12</v>
      </c>
    </row>
    <row r="9" spans="1:3" ht="22" customHeight="1" x14ac:dyDescent="0.35">
      <c r="A9" s="2" t="s">
        <v>13</v>
      </c>
      <c r="B9" s="3">
        <f>1076*16</f>
        <v>17216</v>
      </c>
      <c r="C9" s="4" t="s">
        <v>14</v>
      </c>
    </row>
    <row r="10" spans="1:3" ht="18" customHeight="1" x14ac:dyDescent="0.35">
      <c r="A10" s="30" t="s">
        <v>15</v>
      </c>
      <c r="B10" s="31"/>
      <c r="C10" s="31"/>
    </row>
    <row r="11" spans="1:3" ht="22" customHeight="1" x14ac:dyDescent="0.35">
      <c r="A11" s="2" t="s">
        <v>16</v>
      </c>
      <c r="B11" s="7">
        <v>100</v>
      </c>
      <c r="C11" s="4" t="s">
        <v>17</v>
      </c>
    </row>
    <row r="12" spans="1:3" ht="18" customHeight="1" x14ac:dyDescent="0.35">
      <c r="A12" s="30" t="s">
        <v>18</v>
      </c>
      <c r="B12" s="31"/>
      <c r="C12" s="31"/>
    </row>
    <row r="13" spans="1:3" ht="22" customHeight="1" x14ac:dyDescent="0.35">
      <c r="A13" s="2" t="s">
        <v>19</v>
      </c>
      <c r="B13" s="7">
        <v>100</v>
      </c>
      <c r="C13" s="4" t="s">
        <v>20</v>
      </c>
    </row>
    <row r="14" spans="1:3" ht="18" customHeight="1" x14ac:dyDescent="0.35">
      <c r="A14" s="30" t="s">
        <v>21</v>
      </c>
      <c r="B14" s="31"/>
      <c r="C14" s="31"/>
    </row>
    <row r="15" spans="1:3" ht="22" customHeight="1" x14ac:dyDescent="0.35">
      <c r="A15" s="2" t="s">
        <v>22</v>
      </c>
      <c r="B15" s="7">
        <v>100</v>
      </c>
      <c r="C15" s="4" t="s">
        <v>23</v>
      </c>
    </row>
    <row r="16" spans="1:3" ht="18" customHeight="1" x14ac:dyDescent="0.35">
      <c r="A16" s="30" t="s">
        <v>24</v>
      </c>
      <c r="B16" s="31"/>
      <c r="C16" s="31"/>
    </row>
    <row r="17" spans="1:6" ht="22" customHeight="1" x14ac:dyDescent="0.35">
      <c r="A17" s="2" t="s">
        <v>25</v>
      </c>
      <c r="B17" s="7">
        <v>100</v>
      </c>
      <c r="C17" s="4" t="s">
        <v>26</v>
      </c>
    </row>
    <row r="18" spans="1:6" ht="18" customHeight="1" x14ac:dyDescent="0.35">
      <c r="A18" s="30" t="s">
        <v>27</v>
      </c>
      <c r="B18" s="31"/>
      <c r="C18" s="31"/>
    </row>
    <row r="19" spans="1:6" ht="22" customHeight="1" x14ac:dyDescent="0.35">
      <c r="A19" s="2" t="s">
        <v>28</v>
      </c>
      <c r="B19" s="6">
        <v>2928268</v>
      </c>
      <c r="C19" s="4" t="s">
        <v>29</v>
      </c>
      <c r="E19" s="18"/>
    </row>
    <row r="20" spans="1:6" ht="22" customHeight="1" x14ac:dyDescent="0.35">
      <c r="A20" s="2" t="s">
        <v>30</v>
      </c>
      <c r="B20" s="6">
        <v>2659102</v>
      </c>
      <c r="C20" s="4" t="s">
        <v>31</v>
      </c>
      <c r="E20" s="18"/>
      <c r="F20" s="25"/>
    </row>
    <row r="21" spans="1:6" ht="22" customHeight="1" x14ac:dyDescent="0.35">
      <c r="A21" s="2" t="s">
        <v>32</v>
      </c>
      <c r="B21" s="8">
        <v>0.91</v>
      </c>
      <c r="C21" s="4" t="s">
        <v>33</v>
      </c>
    </row>
    <row r="22" spans="1:6" ht="18" customHeight="1" x14ac:dyDescent="0.35">
      <c r="A22" s="30" t="s">
        <v>34</v>
      </c>
      <c r="B22" s="31"/>
      <c r="C22" s="31"/>
    </row>
    <row r="23" spans="1:6" ht="22" customHeight="1" x14ac:dyDescent="0.35">
      <c r="A23" s="2" t="s">
        <v>35</v>
      </c>
      <c r="B23" s="17">
        <v>46023</v>
      </c>
      <c r="C23" s="4" t="s">
        <v>36</v>
      </c>
    </row>
    <row r="24" spans="1:6" ht="18" customHeight="1" x14ac:dyDescent="0.35">
      <c r="A24" s="30" t="s">
        <v>37</v>
      </c>
      <c r="B24" s="31"/>
      <c r="C24" s="31"/>
    </row>
    <row r="25" spans="1:6" ht="22" customHeight="1" x14ac:dyDescent="0.35">
      <c r="A25" s="2" t="s">
        <v>38</v>
      </c>
      <c r="B25" s="3" t="s">
        <v>59</v>
      </c>
      <c r="C25" s="4" t="s">
        <v>39</v>
      </c>
    </row>
    <row r="27" spans="1:6" ht="16" customHeight="1" x14ac:dyDescent="0.35">
      <c r="A27" s="28"/>
      <c r="B27" s="29"/>
      <c r="C27" s="29"/>
    </row>
  </sheetData>
  <mergeCells count="11">
    <mergeCell ref="A1:C1"/>
    <mergeCell ref="A16:C16"/>
    <mergeCell ref="A14:C14"/>
    <mergeCell ref="A22:C22"/>
    <mergeCell ref="A18:C18"/>
    <mergeCell ref="A27:C27"/>
    <mergeCell ref="A12:C12"/>
    <mergeCell ref="A7:C7"/>
    <mergeCell ref="A24:C24"/>
    <mergeCell ref="A2:C2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workbookViewId="0">
      <selection activeCell="C13" sqref="C13"/>
    </sheetView>
  </sheetViews>
  <sheetFormatPr baseColWidth="10" defaultColWidth="8.7265625" defaultRowHeight="14.5" x14ac:dyDescent="0.35"/>
  <cols>
    <col min="1" max="1" width="8" customWidth="1"/>
    <col min="2" max="3" width="16" customWidth="1"/>
    <col min="4" max="4" width="14" customWidth="1"/>
    <col min="5" max="5" width="15" bestFit="1" customWidth="1"/>
    <col min="6" max="6" width="17.08984375" bestFit="1" customWidth="1"/>
  </cols>
  <sheetData>
    <row r="1" spans="1:8" ht="34" customHeight="1" x14ac:dyDescent="0.35">
      <c r="A1" s="33" t="s">
        <v>40</v>
      </c>
      <c r="B1" s="29"/>
      <c r="C1" s="29"/>
      <c r="D1" s="29"/>
      <c r="E1" s="29"/>
    </row>
    <row r="2" spans="1:8" ht="18" customHeight="1" x14ac:dyDescent="0.35">
      <c r="A2" s="32"/>
      <c r="B2" s="29"/>
      <c r="C2" s="29"/>
      <c r="D2" s="29"/>
      <c r="E2" s="29"/>
    </row>
    <row r="3" spans="1:8" ht="22" customHeight="1" x14ac:dyDescent="0.35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20" t="s">
        <v>58</v>
      </c>
    </row>
    <row r="4" spans="1:8" ht="22" customHeight="1" x14ac:dyDescent="0.35">
      <c r="A4" s="9" t="s">
        <v>46</v>
      </c>
      <c r="B4" s="10">
        <v>344376</v>
      </c>
      <c r="C4" s="11">
        <v>275408</v>
      </c>
      <c r="D4" s="12"/>
      <c r="E4" s="22"/>
    </row>
    <row r="5" spans="1:8" ht="22" customHeight="1" x14ac:dyDescent="0.35">
      <c r="A5" s="9" t="s">
        <v>47</v>
      </c>
      <c r="B5" s="10">
        <v>592364</v>
      </c>
      <c r="C5" s="11">
        <v>494770</v>
      </c>
      <c r="D5" s="12"/>
      <c r="E5" s="22"/>
    </row>
    <row r="6" spans="1:8" ht="22" customHeight="1" x14ac:dyDescent="0.35">
      <c r="A6" s="9" t="s">
        <v>48</v>
      </c>
      <c r="B6" s="10">
        <v>394880</v>
      </c>
      <c r="C6" s="11">
        <v>377992</v>
      </c>
      <c r="D6" s="12"/>
      <c r="E6" s="22"/>
    </row>
    <row r="7" spans="1:8" ht="22" customHeight="1" x14ac:dyDescent="0.35">
      <c r="A7" s="9" t="s">
        <v>49</v>
      </c>
      <c r="B7" s="10">
        <v>282102</v>
      </c>
      <c r="C7" s="19">
        <v>277686</v>
      </c>
      <c r="D7" s="12"/>
      <c r="E7" s="22"/>
    </row>
    <row r="8" spans="1:8" ht="22" customHeight="1" x14ac:dyDescent="0.35">
      <c r="A8" s="9" t="s">
        <v>50</v>
      </c>
      <c r="B8" s="21">
        <v>374682</v>
      </c>
      <c r="C8" s="19">
        <v>386288</v>
      </c>
      <c r="D8" s="12"/>
      <c r="E8" s="22"/>
    </row>
    <row r="9" spans="1:8" ht="22" customHeight="1" x14ac:dyDescent="0.35">
      <c r="A9" s="9" t="s">
        <v>51</v>
      </c>
      <c r="B9" s="21">
        <v>152802</v>
      </c>
      <c r="C9" s="11">
        <v>163940</v>
      </c>
      <c r="D9" s="12"/>
      <c r="E9" s="23"/>
    </row>
    <row r="10" spans="1:8" ht="22" customHeight="1" x14ac:dyDescent="0.35">
      <c r="A10" s="9" t="s">
        <v>52</v>
      </c>
      <c r="B10" s="21">
        <v>174824</v>
      </c>
      <c r="C10" s="19">
        <v>116278</v>
      </c>
      <c r="D10" s="12"/>
      <c r="E10" s="22"/>
      <c r="H10" s="18"/>
    </row>
    <row r="11" spans="1:8" ht="22" customHeight="1" x14ac:dyDescent="0.35">
      <c r="A11" s="9" t="s">
        <v>53</v>
      </c>
      <c r="B11" s="10">
        <v>407060</v>
      </c>
      <c r="C11" s="19">
        <v>429540</v>
      </c>
      <c r="D11" s="13"/>
      <c r="E11" s="22"/>
    </row>
    <row r="12" spans="1:8" ht="22" customHeight="1" x14ac:dyDescent="0.35">
      <c r="A12" s="9" t="s">
        <v>54</v>
      </c>
      <c r="B12" s="21">
        <v>205178</v>
      </c>
      <c r="C12" s="19">
        <v>205178</v>
      </c>
      <c r="D12" s="27"/>
      <c r="E12" s="22"/>
    </row>
    <row r="13" spans="1:8" ht="22" customHeight="1" x14ac:dyDescent="0.35">
      <c r="A13" s="9" t="s">
        <v>55</v>
      </c>
      <c r="B13" s="10">
        <v>359998</v>
      </c>
      <c r="C13" s="19">
        <f>91376+17216</f>
        <v>108592</v>
      </c>
      <c r="D13" s="15"/>
      <c r="E13" s="16"/>
    </row>
    <row r="14" spans="1:8" ht="22" customHeight="1" x14ac:dyDescent="0.35">
      <c r="A14" s="9" t="s">
        <v>56</v>
      </c>
      <c r="B14" s="10"/>
      <c r="C14" s="24"/>
      <c r="D14" s="15"/>
      <c r="E14" s="16"/>
    </row>
    <row r="15" spans="1:8" ht="22" customHeight="1" x14ac:dyDescent="0.35">
      <c r="A15" s="9" t="s">
        <v>57</v>
      </c>
      <c r="B15" s="10"/>
      <c r="C15" s="14"/>
      <c r="D15" s="15"/>
      <c r="E15" s="16"/>
    </row>
    <row r="17" spans="1:5" ht="16" customHeight="1" x14ac:dyDescent="0.35">
      <c r="A17" s="34"/>
      <c r="B17" s="29"/>
      <c r="C17" s="29"/>
      <c r="D17" s="29"/>
      <c r="E17" s="29"/>
    </row>
  </sheetData>
  <mergeCells count="3"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SEMANA</vt:lpstr>
      <vt:lpstr>PRODUCCION_MENSUAL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Jesler Alisandro Mazariegos Ventura</cp:lastModifiedBy>
  <dcterms:created xsi:type="dcterms:W3CDTF">2026-08-31T17:30:25Z</dcterms:created>
  <dcterms:modified xsi:type="dcterms:W3CDTF">2026-10-13T14:19:17Z</dcterms:modified>
</cp:coreProperties>
</file>